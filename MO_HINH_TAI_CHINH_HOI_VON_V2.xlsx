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ia Dinh Dau Vao" sheetId="1" r:id="rId1"/>
    <sheet name="Dong Tien Hoi Von" sheetId="2" r:id="rId2"/>
    <sheet name="Du Phong 12 Thang" sheetId="3" r:id="rId3"/>
  </sheets>
  <calcPr calcId="124519" fullCalcOnLoad="1"/>
</workbook>
</file>

<file path=xl/sharedStrings.xml><?xml version="1.0" encoding="utf-8"?>
<sst xmlns="http://schemas.openxmlformats.org/spreadsheetml/2006/main" count="189" uniqueCount="174">
  <si>
    <t>MÔ HÌNH DỰ TOÁN TÀI CHÍNH &amp; THỜI GIAN HỒI VỐN - VIBESURVEY</t>
  </si>
  <si>
    <t>Lưu ý: Các ô màu vàng nhạt [ ] là ô bạn có thể tự do thay đổi số liệu. Các ô còn lại tự động tính toán theo công thức.</t>
  </si>
  <si>
    <t>I. CHI PHÍ ĐẦU TƯ BAN ĐẦU (CAPEX - TRẢ 1 LẦN DUY NHẤT)</t>
  </si>
  <si>
    <t>Hạng Mục Chi Phí Khởi Tạo</t>
  </si>
  <si>
    <t>Số Tiền (VNĐ)</t>
  </si>
  <si>
    <t>Đơn Vị</t>
  </si>
  <si>
    <t>Ghi Chú Giải Thích Thực Tế</t>
  </si>
  <si>
    <t>Tài khoản Google Play Developer (25 USD)</t>
  </si>
  <si>
    <t>Phí 1 lần</t>
  </si>
  <si>
    <t>Đăng ký quyền phát hành APK trên Google Play Console</t>
  </si>
  <si>
    <t>Mua Tên Miền (.vn hoặc .com) năm đầu</t>
  </si>
  <si>
    <t>Tên miền thương hiệu chính thức (VD: vibesurvey.vn)</t>
  </si>
  <si>
    <t>Đăng ký kinh doanh &amp; Thông báo Bộ Công Thương</t>
  </si>
  <si>
    <t>Đăng ký website sàn TMĐT cung cấp dịch vụ trực tuyến</t>
  </si>
  <si>
    <t>Tích hợp Cổng Thanh Toán VietQR / Payout</t>
  </si>
  <si>
    <t>Phí kích hoạt webhook đối soát ngân hàng tự động</t>
  </si>
  <si>
    <t>Quỹ Thanh Khoản Trả Thưởng Mồi Ban Đầu</t>
  </si>
  <si>
    <t>Vốn lưu động</t>
  </si>
  <si>
    <t>Tiền mặt có sẵn trong tài khoản để người dùng rút được ngay</t>
  </si>
  <si>
    <t>Chi phí dự phòng khởi tạo khác</t>
  </si>
  <si>
    <t>Dự phòng</t>
  </si>
  <si>
    <t>Thiết kế nhận diện, server test, bảo mật ban đầu</t>
  </si>
  <si>
    <t>TỔNG VỐN ĐẦU TƯ BAN ĐẦU (TOTAL CAPEX)</t>
  </si>
  <si>
    <t>VNĐ</t>
  </si>
  <si>
    <t>Tổng số vốn tiền mặt cần có sẵn để bắt đầu vận hành</t>
  </si>
  <si>
    <t>II. GIẢ ĐỊNH NGƯỜI TẠO KHẢO SÁT NẠP TIỀN HÀNG THÁNG (CREATOR DEPOSITS)</t>
  </si>
  <si>
    <t>Phân Khúc Khách Hàng</t>
  </si>
  <si>
    <t>Số Người Nạp / Tháng</t>
  </si>
  <si>
    <t>Mức Nạp TB (VNĐ)</t>
  </si>
  <si>
    <t>Ghi Chú Đặc Thù Phân Khúc</t>
  </si>
  <si>
    <t>1. Sinh Viên (.edu.vn) - Đề tài NCKH, Khóa luận</t>
  </si>
  <si>
    <t>Mốc nạp 20k - 50k gom 50 - 100 mẫu khảo sát</t>
  </si>
  <si>
    <t>2. Cá Nhân / Nghiên cứu thị trường độc lập</t>
  </si>
  <si>
    <t>Mốc nạp 100k - 200k gom 100 - 200 mẫu tiêu chuẩn</t>
  </si>
  <si>
    <t>3. Doanh Nghiệp Vừa &amp; Nhỏ (SME / Startup)</t>
  </si>
  <si>
    <t>Mốc nạp 500k - 1M gom 300 - 500 mẫu</t>
  </si>
  <si>
    <t>4. Doanh Nghiệp Lớn (Enterprise B2B)</t>
  </si>
  <si>
    <t>Gói 2M - 5M gom 1.000+ mẫu, bảo hành 1-1, xuất VAT</t>
  </si>
  <si>
    <t>Tổng Người Nạp &amp; Tổng Tiền Nạp (GMV / Ký Quỹ)</t>
  </si>
  <si>
    <t>Tổng số tiền Creator nạp vào ví Credit trên sàn mỗi tháng</t>
  </si>
  <si>
    <t>III. BIÊN LỢI NHUẬN SÀN (TAKE-RATE) &amp; NGUỒN THU PHỤ TRỢ</t>
  </si>
  <si>
    <t>Nguồn Doanh Thu Bổ Trợ Của Sàn</t>
  </si>
  <si>
    <t>Giá Trị Giả Định</t>
  </si>
  <si>
    <t>Ghi Chú Thực Tế Vận Hành</t>
  </si>
  <si>
    <t>Tỷ lệ chiết khấu sàn bình quân (Avg Take-Rate)</t>
  </si>
  <si>
    <t>% trên GMV</t>
  </si>
  <si>
    <t>Sàn giữ lại bình quân 30% tiền mẫu, 70% trả cho đáp viên</t>
  </si>
  <si>
    <t>Số gói Ghim VIP + Push APK bán được / tháng</t>
  </si>
  <si>
    <t>Gói (40k/gói)</t>
  </si>
  <si>
    <t>Creator mua để gom mẫu hỏa tốc (Biên lợi nhuận &gt; 90%)</t>
  </si>
  <si>
    <t>Tổng giá trị Voucher Creator mua từ kho sàn</t>
  </si>
  <si>
    <t>VNĐ / tháng</t>
  </si>
  <si>
    <t>Creator mua mã E-Voucher để tặng kèm người làm bài</t>
  </si>
  <si>
    <t>Hoa hồng chiết khấu bán Voucher thương hiệu</t>
  </si>
  <si>
    <t>% hoa hồng</t>
  </si>
  <si>
    <t>Chiết khấu từ nhà phát hành voucher (Got It, UrBox, Shopee)</t>
  </si>
  <si>
    <t>Số lệnh rút tiền dưới 100k có thu phí 2.000đ</t>
  </si>
  <si>
    <t>Lệnh / tháng</t>
  </si>
  <si>
    <t>Phí xử lý giao dịch rút tiền dưới 100.000đ</t>
  </si>
  <si>
    <t>IV. CHI PHÍ DUY TRÌ HÀNG THÁNG (OPEX: HẠ TẦNG, NHÂN SỰ, MARKETING)</t>
  </si>
  <si>
    <t>Khoản Mục Chi Phí Vận Hành Hàng Tháng</t>
  </si>
  <si>
    <t>Chi Phí (VNĐ)</t>
  </si>
  <si>
    <t>Tính Chất</t>
  </si>
  <si>
    <t>Ghi Chú Cụ Thể</t>
  </si>
  <si>
    <t>1. Thuê Máy Chủ VPS (Cloud Server Node.js + DB)</t>
  </si>
  <si>
    <t>Cố định</t>
  </si>
  <si>
    <t>VPS 2 Core, 4GB RAM (Hetzner / Vietnix / Oracle Cloud)</t>
  </si>
  <si>
    <t>2. Dịch vụ Email Transactional OTP (Brevo / SES)</t>
  </si>
  <si>
    <t>Gửi email xác thực OTP đăng ký &amp; OTP sinh viên edu</t>
  </si>
  <si>
    <t>3. Cổng đối soát VietQR tự động (PayOS / Casso)</t>
  </si>
  <si>
    <t>Webhook xác nhận tiền nạp Creator 24/7 tức thì</t>
  </si>
  <si>
    <t>4. Lưu trữ đám mây Cloudflare R2 &amp; Tên miền/tháng</t>
  </si>
  <si>
    <t>Lưu ảnh khảo sát, zero egress fee + phân bổ tên miền</t>
  </si>
  <si>
    <t>5. Lương Nhân Sự (Vận hành, CSKH, Kiểm duyệt form)</t>
  </si>
  <si>
    <t>Nhân sự</t>
  </si>
  <si>
    <t>Giai đoạn đầu có thể đặt 0đ (tự làm) hoặc thuê CTV part-time</t>
  </si>
  <si>
    <t>6. Ngân sách mua Voucher sàn tài trợ khuyến mại</t>
  </si>
  <si>
    <t>Marketing</t>
  </si>
  <si>
    <t>Mua voucher mồi để tặng đáp viên mới kích cầu</t>
  </si>
  <si>
    <t>7. Phí giao dịch chuyển khoản Payout ngân hàng</t>
  </si>
  <si>
    <t>Biến phí</t>
  </si>
  <si>
    <t>~150 lệnh chuyển khoản duyệt thưởng x 2.000đ/lệnh</t>
  </si>
  <si>
    <t>8. Chi phí dự phòng phát sinh &amp; bảo trì hệ thống</t>
  </si>
  <si>
    <t>Dự phòng lỗi, tải tăng đột biến, marketing học đường</t>
  </si>
  <si>
    <t>TỔNG CHI PHÍ VẬN HÀNH HÀNG THÁNG (TOTAL OPEX)</t>
  </si>
  <si>
    <t>Tổng số tiền phải bỏ ra mỗi tháng để duy trì web/app</t>
  </si>
  <si>
    <t>BẢNG TÍNH ĐIỂM HÒA VỐN &amp; THỜI GIAN HOÀN VỐN (SOLVER &amp; METRICS)</t>
  </si>
  <si>
    <t>Toàn bộ số liệu tự động tính toán. Khi bạn sửa dữ liệu bên Sheet 1, bảng này sẽ tự động giải toán lại ngay lập tức.</t>
  </si>
  <si>
    <t>I. DOANH THU THUẦN SÀN THỰC THU (PLATFORM NET REVENUE)</t>
  </si>
  <si>
    <t>Khoản Mục Doanh Thu Sàn</t>
  </si>
  <si>
    <t>Giá Trị (VNĐ)</t>
  </si>
  <si>
    <t>Tỷ Lệ</t>
  </si>
  <si>
    <t>Công Thức &amp; Nguồn Tính</t>
  </si>
  <si>
    <t>1. Doanh thu chiết khấu khảo sát (Take-Rate)</t>
  </si>
  <si>
    <t>Tính từ: Tổng tiền nạp Creator nhân Tỷ lệ Take-Rate</t>
  </si>
  <si>
    <t>2. Doanh thu bán gói Ghim VIP + Push APK</t>
  </si>
  <si>
    <t>Tính từ: Số gói Ghim VIP nhân đơn giá 40.000đ/gói</t>
  </si>
  <si>
    <t>3. Hoa hồng chiết khấu bán Voucher kho sàn</t>
  </si>
  <si>
    <t>Tính từ: Tổng giá trị Voucher bán ra nhân % Hoa hồng</t>
  </si>
  <si>
    <t>4. Doanh thu phí rút tiền dưới 100k (2.000đ/lệnh)</t>
  </si>
  <si>
    <t>Tính từ: Số lệnh rút tiền nhân phí 2.000đ/lệnh</t>
  </si>
  <si>
    <t>5. Thu nhập phụ trợ khác (Dự phòng)</t>
  </si>
  <si>
    <t>Nguồn thu phụ trợ khác trong tương lai</t>
  </si>
  <si>
    <t>TỔNG DOANH THU THUẦN SÀN (NET REVENUE)</t>
  </si>
  <si>
    <t>100.0%</t>
  </si>
  <si>
    <t>Tổng tiền thực tế sàn giữ lại được mỗi tháng</t>
  </si>
  <si>
    <t>II. CHI PHÍ &amp; LỢI NHUẬN HOẠT ĐỘNG RÒNG HÀNG THÁNG (EBITDA)</t>
  </si>
  <si>
    <t>Chỉ Số Tài Chính</t>
  </si>
  <si>
    <t>Tỷ Suất</t>
  </si>
  <si>
    <t>Ý Nghĩa Quản Trị</t>
  </si>
  <si>
    <t>1. Tổng Doanh Thu Thuần Hàng Tháng</t>
  </si>
  <si>
    <t>Chuyển từ mục Tổng Doanh Thu Thuần ở trên</t>
  </si>
  <si>
    <t>2. Tổng Chi Phí Vận Hành Hàng Tháng (OpEx)</t>
  </si>
  <si>
    <t>Server, email, cổng TT, nhân sự, voucher sàn, dự phòng</t>
  </si>
  <si>
    <t>3. LỢI NHUẬN HOẠT ĐỘNG RÒNG (MONTHLY NET PROFIT)</t>
  </si>
  <si>
    <t>Tiền lời thực tế còn lại sau khi trừ hết chi phí vận hành</t>
  </si>
  <si>
    <t>III. PHÂN TÍCH ĐIỂM HÒA VỐN &amp; THỜI GIAN HOÀN VỐN (SOLVER METRICS)</t>
  </si>
  <si>
    <t>Chỉ Số Tính Toán Hồi Vốn</t>
  </si>
  <si>
    <t>Kết Quả Tính Toán</t>
  </si>
  <si>
    <t>Ý Nghĩa &amp; Cách Diễn Giải</t>
  </si>
  <si>
    <t>1. Doanh thu thuần để hòa vốn hàng tháng</t>
  </si>
  <si>
    <t>Sàn cần thu về tối thiểu số tiền này mỗi tháng để không lỗ</t>
  </si>
  <si>
    <t>2. Tổng tiền Creator phải nạp (GMV) để hòa vốn</t>
  </si>
  <si>
    <t>VNĐ nạp / tháng</t>
  </si>
  <si>
    <t>Tổng tiền nạp tối thiểu cần có để phần Take-Rate đủ bù OpEx</t>
  </si>
  <si>
    <t>3. Số khách hàng Creator nạp tiền để hòa vốn</t>
  </si>
  <si>
    <t>Người nạp / tháng</t>
  </si>
  <si>
    <t>Số khách nạp tiền bình quân mỗi tháng để sàn đạt điểm hòa vốn</t>
  </si>
  <si>
    <t>4. Tổng vốn đầu tư ban đầu cần thu hồi (CapEx)</t>
  </si>
  <si>
    <t>Google Play, tên miền, BCT, quỹ trả thưởng mồi...</t>
  </si>
  <si>
    <t>5. THỜI GIAN HOÀN VỐN ĐẦU TƯ (PAYBACK PERIOD)</t>
  </si>
  <si>
    <t>Tháng</t>
  </si>
  <si>
    <t>Số tháng để lợi nhuận tích lũy bù đắp 100% vốn đầu tư ban đầu</t>
  </si>
  <si>
    <t>6. Tình trạng hoàn vốn (Solver Status)</t>
  </si>
  <si>
    <t>Đánh giá</t>
  </si>
  <si>
    <t>Tự động cảnh báo về tốc độ hồi vốn theo mức lãi ròng</t>
  </si>
  <si>
    <t>DỰ PHÓNG DÒNG TIỀN RÒNG 12 THÁNG &amp; PHÂN TÍCH ĐỘ NHẠY</t>
  </si>
  <si>
    <t>Mô phỏng sự tăng trưởng người dùng qua 12 tháng và nhận diện chính xác thời điểm dòng tiền tích lũy chuyển sang số Dương.</t>
  </si>
  <si>
    <t>Chỉ Số / Mốc Thời Gian</t>
  </si>
  <si>
    <t>Khởi Tạo (T0)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</si>
  <si>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</si>
  <si>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</si>
  <si>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</si>
  <si>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</si>
  <si>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</si>
  <si>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</si>
  <si>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</si>
  <si>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</si>
  <si>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</si>
  <si>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</si>
  <si>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</si>
  <si>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</si>
  <si>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Tổng Cộng (12T)</t>
  </si>
  <si>
    <t>Hệ số tăng trưởng quy mô (%)</t>
  </si>
  <si>
    <t>-</t>
  </si>
  <si>
    <t>1. Doanh Thu Thuần Sàn (VNĐ)</t>
  </si>
  <si>
    <t>2. Chi Phí Vận Hành OpEx (VNĐ)</t>
  </si>
  <si>
    <t>3. Dòng Tiền Hoạt Động Tháng (VNĐ)</t>
  </si>
  <si>
    <t>4. Vốn Đầu Tư Ban Đầu CapEx (VNĐ)</t>
  </si>
  <si>
    <t>5. DÒNG TIỀN TÍCH LŨY (VNĐ)</t>
  </si>
  <si>
    <t>Trạng thái thu hồi vốn</t>
  </si>
  <si>
    <t>Âm vốn ban đầu</t>
  </si>
  <si>
    <t>BẢNG SO SÁNH ĐỘ NHẠY 3 KỊCH BẢN VẬN HÀNH (SCENARIO SENSITIVITY MATRIX)</t>
  </si>
  <si>
    <t>Kịch Bản Kinh Doanh</t>
  </si>
  <si>
    <t>GMV Nạp (VNĐ)</t>
  </si>
  <si>
    <t>Doanh Thu Thuần (VNĐ)</t>
  </si>
  <si>
    <t>Chi Phí OpEx (VNĐ)</t>
  </si>
  <si>
    <t>Lãi Ròng / Tháng (VNĐ)</t>
  </si>
  <si>
    <t>Thời Gian Hồi Vốn (Tháng)</t>
  </si>
  <si>
    <t>1. Kịch Bản Thận Trọng (Conservative - 50% kỳ vọng)</t>
  </si>
  <si>
    <t>2. Kịch Bản Cơ Sở (Base Case - 100% giả định)</t>
  </si>
  <si>
    <t>3. Kịch Bản Lạc Quan (Optimistic - 180% tăng trưởng)</t>
  </si>
  <si>
    <t>Hướng dẫn sử dụng:</t>
  </si>
  <si>
    <t>Chỉ cần chỉnh sửa các số liệu giả định tại Sheet 1, toàn bộ bảng dự phóng 12 tháng và 3 kịch bản độ nhạy sẽ tự động giải toán (Solver) lại tức thì!</t>
  </si>
</sst>
</file>

<file path=xl/styles.xml><?xml version="1.0" encoding="utf-8"?>
<styleSheet xmlns="http://schemas.openxmlformats.org/spreadsheetml/2006/main">
  <numFmts count="4">
    <numFmt numFmtId="164" formatCode="#,##0&quot; đ&quot;"/>
    <numFmt numFmtId="165" formatCode="#,##0"/>
    <numFmt numFmtId="166" formatCode="0.0%"/>
    <numFmt numFmtId="167" formatCode="0.0&quot; Tháng&quot;"/>
  </numFmts>
  <fonts count="13">
    <font>
      <sz val="11"/>
      <color theme="1"/>
      <name val="Calibri"/>
      <family val="2"/>
      <scheme val="minor"/>
    </font>
    <font>
      <b/>
      <sz val="15"/>
      <color rgb="FFFFFFFF"/>
      <name val="Segoe UI"/>
      <family val="2"/>
    </font>
    <font>
      <i/>
      <sz val="9.5"/>
      <color rgb="FF57534E"/>
      <name val="Segoe UI"/>
      <family val="2"/>
    </font>
    <font>
      <b/>
      <sz val="10.5"/>
      <color rgb="FF9A3412"/>
      <name val="Segoe UI"/>
      <family val="2"/>
    </font>
    <font>
      <b/>
      <sz val="9.5"/>
      <color rgb="FF09090B"/>
      <name val="Segoe UI"/>
      <family val="2"/>
    </font>
    <font>
      <sz val="9.5"/>
      <color theme="1"/>
      <name val="Segoe UI"/>
      <family val="2"/>
    </font>
    <font>
      <b/>
      <sz val="9.5"/>
      <color rgb="FF1E3A8A"/>
      <name val="Segoe UI"/>
      <family val="2"/>
    </font>
    <font>
      <i/>
      <sz val="8.5"/>
      <color rgb="FF71717A"/>
      <name val="Segoe UI"/>
      <family val="2"/>
    </font>
    <font>
      <b/>
      <sz val="9.5"/>
      <color theme="1"/>
      <name val="Segoe UI"/>
      <family val="2"/>
    </font>
    <font>
      <b/>
      <sz val="11"/>
      <color rgb="FF166534"/>
      <name val="Segoe UI"/>
      <family val="2"/>
    </font>
    <font>
      <b/>
      <sz val="10"/>
      <color rgb="FF09090B"/>
      <name val="Segoe UI"/>
      <family val="2"/>
    </font>
    <font>
      <b/>
      <sz val="9.5"/>
      <color rgb="FFFFFFFF"/>
      <name val="Segoe UI"/>
      <family val="2"/>
    </font>
    <font>
      <b/>
      <sz val="11"/>
      <color rgb="FF92400E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C2410C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E4E4E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4F4F5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EA580C"/>
        <bgColor indexed="64"/>
      </patternFill>
    </fill>
    <fill>
      <patternFill patternType="solid">
        <fgColor rgb="FFFEF3C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4" fontId="6" fillId="5" borderId="1" xfId="0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8" fillId="6" borderId="1" xfId="0" applyFont="1" applyFill="1" applyBorder="1"/>
    <xf numFmtId="164" fontId="9" fillId="7" borderId="2" xfId="0" applyNumberFormat="1" applyFont="1" applyFill="1" applyBorder="1" applyAlignment="1">
      <alignment horizontal="right"/>
    </xf>
    <xf numFmtId="165" fontId="6" fillId="5" borderId="1" xfId="0" applyNumberFormat="1" applyFont="1" applyFill="1" applyBorder="1" applyAlignment="1">
      <alignment horizontal="right"/>
    </xf>
    <xf numFmtId="164" fontId="10" fillId="6" borderId="1" xfId="0" applyNumberFormat="1" applyFont="1" applyFill="1" applyBorder="1" applyAlignment="1">
      <alignment horizontal="right"/>
    </xf>
    <xf numFmtId="166" fontId="6" fillId="5" borderId="1" xfId="0" applyNumberFormat="1" applyFont="1" applyFill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166" fontId="5" fillId="0" borderId="1" xfId="0" applyNumberFormat="1" applyFont="1" applyBorder="1" applyAlignment="1">
      <alignment horizontal="right"/>
    </xf>
    <xf numFmtId="0" fontId="11" fillId="8" borderId="1" xfId="0" applyFont="1" applyFill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right"/>
    </xf>
    <xf numFmtId="167" fontId="12" fillId="9" borderId="2" xfId="0" applyNumberFormat="1" applyFont="1" applyFill="1" applyBorder="1" applyAlignment="1">
      <alignment horizontal="right"/>
    </xf>
    <xf numFmtId="0" fontId="6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EA580C"/>
  </sheetPr>
  <dimension ref="B2:E41"/>
  <sheetViews>
    <sheetView tabSelected="1" workbookViewId="0"/>
  </sheetViews>
  <sheetFormatPr defaultRowHeight="15"/>
  <cols>
    <col min="1" max="1" width="4.7109375" customWidth="1"/>
    <col min="2" max="2" width="40.7109375" customWidth="1"/>
    <col min="3" max="3" width="18.7109375" customWidth="1"/>
    <col min="4" max="4" width="15.7109375" customWidth="1"/>
    <col min="5" max="5" width="45.7109375" customWidth="1"/>
  </cols>
  <sheetData>
    <row r="2" spans="2:5">
      <c r="B2" s="1" t="s">
        <v>0</v>
      </c>
      <c r="C2" s="1"/>
      <c r="D2" s="1"/>
      <c r="E2" s="1"/>
    </row>
    <row r="3" spans="2:5">
      <c r="B3" s="2" t="s">
        <v>1</v>
      </c>
    </row>
    <row r="5" spans="2:5">
      <c r="B5" s="3" t="s">
        <v>2</v>
      </c>
      <c r="C5" s="3"/>
      <c r="D5" s="3"/>
      <c r="E5" s="3"/>
    </row>
    <row r="6" spans="2:5">
      <c r="B6" s="4" t="s">
        <v>3</v>
      </c>
      <c r="C6" s="4" t="s">
        <v>4</v>
      </c>
      <c r="D6" s="4" t="s">
        <v>5</v>
      </c>
      <c r="E6" s="4" t="s">
        <v>6</v>
      </c>
    </row>
    <row r="7" spans="2:5">
      <c r="B7" s="5" t="s">
        <v>7</v>
      </c>
      <c r="C7" s="6">
        <v>630000</v>
      </c>
      <c r="D7" s="7" t="s">
        <v>8</v>
      </c>
      <c r="E7" s="8" t="s">
        <v>9</v>
      </c>
    </row>
    <row r="8" spans="2:5">
      <c r="B8" s="5" t="s">
        <v>10</v>
      </c>
      <c r="C8" s="6">
        <v>350000</v>
      </c>
      <c r="D8" s="7" t="s">
        <v>8</v>
      </c>
      <c r="E8" s="8" t="s">
        <v>11</v>
      </c>
    </row>
    <row r="9" spans="2:5">
      <c r="B9" s="5" t="s">
        <v>12</v>
      </c>
      <c r="C9" s="6">
        <v>1500000</v>
      </c>
      <c r="D9" s="7" t="s">
        <v>8</v>
      </c>
      <c r="E9" s="8" t="s">
        <v>13</v>
      </c>
    </row>
    <row r="10" spans="2:5">
      <c r="B10" s="5" t="s">
        <v>14</v>
      </c>
      <c r="C10" s="6">
        <v>500000</v>
      </c>
      <c r="D10" s="7" t="s">
        <v>8</v>
      </c>
      <c r="E10" s="8" t="s">
        <v>15</v>
      </c>
    </row>
    <row r="11" spans="2:5">
      <c r="B11" s="5" t="s">
        <v>16</v>
      </c>
      <c r="C11" s="6">
        <v>5000000</v>
      </c>
      <c r="D11" s="7" t="s">
        <v>17</v>
      </c>
      <c r="E11" s="8" t="s">
        <v>18</v>
      </c>
    </row>
    <row r="12" spans="2:5">
      <c r="B12" s="5" t="s">
        <v>19</v>
      </c>
      <c r="C12" s="6">
        <v>1000000</v>
      </c>
      <c r="D12" s="7" t="s">
        <v>20</v>
      </c>
      <c r="E12" s="8" t="s">
        <v>21</v>
      </c>
    </row>
    <row r="13" spans="2:5">
      <c r="B13" s="9" t="s">
        <v>22</v>
      </c>
      <c r="C13" s="10">
        <f>SUM(C7:C12)</f>
        <v>0</v>
      </c>
      <c r="D13" s="4" t="s">
        <v>23</v>
      </c>
      <c r="E13" s="8" t="s">
        <v>24</v>
      </c>
    </row>
    <row r="15" spans="2:5">
      <c r="B15" s="3" t="s">
        <v>25</v>
      </c>
      <c r="C15" s="3"/>
      <c r="D15" s="3"/>
      <c r="E15" s="3"/>
    </row>
    <row r="16" spans="2:5">
      <c r="B16" s="4" t="s">
        <v>26</v>
      </c>
      <c r="C16" s="4" t="s">
        <v>27</v>
      </c>
      <c r="D16" s="4" t="s">
        <v>28</v>
      </c>
      <c r="E16" s="4" t="s">
        <v>29</v>
      </c>
    </row>
    <row r="17" spans="2:5">
      <c r="B17" s="5" t="s">
        <v>30</v>
      </c>
      <c r="C17" s="11">
        <v>80</v>
      </c>
      <c r="D17" s="6">
        <v>45000</v>
      </c>
      <c r="E17" s="8" t="s">
        <v>31</v>
      </c>
    </row>
    <row r="18" spans="2:5">
      <c r="B18" s="5" t="s">
        <v>32</v>
      </c>
      <c r="C18" s="11">
        <v>40</v>
      </c>
      <c r="D18" s="6">
        <v>150000</v>
      </c>
      <c r="E18" s="8" t="s">
        <v>33</v>
      </c>
    </row>
    <row r="19" spans="2:5">
      <c r="B19" s="5" t="s">
        <v>34</v>
      </c>
      <c r="C19" s="11">
        <v>10</v>
      </c>
      <c r="D19" s="6">
        <v>800000</v>
      </c>
      <c r="E19" s="8" t="s">
        <v>35</v>
      </c>
    </row>
    <row r="20" spans="2:5">
      <c r="B20" s="5" t="s">
        <v>36</v>
      </c>
      <c r="C20" s="11">
        <v>2</v>
      </c>
      <c r="D20" s="6">
        <v>3000000</v>
      </c>
      <c r="E20" s="8" t="s">
        <v>37</v>
      </c>
    </row>
    <row r="21" spans="2:5">
      <c r="B21" s="9" t="s">
        <v>38</v>
      </c>
      <c r="C21" s="12">
        <f>SUM(C17:C20)</f>
        <v>0</v>
      </c>
      <c r="D21" s="10">
        <f>(C17*D17)+(C18*D18)+(C19*D19)+(C20*D20)</f>
        <v>0</v>
      </c>
      <c r="E21" s="8" t="s">
        <v>39</v>
      </c>
    </row>
    <row r="23" spans="2:5">
      <c r="B23" s="3" t="s">
        <v>40</v>
      </c>
      <c r="C23" s="3"/>
      <c r="D23" s="3"/>
      <c r="E23" s="3"/>
    </row>
    <row r="24" spans="2:5">
      <c r="B24" s="4" t="s">
        <v>41</v>
      </c>
      <c r="C24" s="4" t="s">
        <v>42</v>
      </c>
      <c r="D24" s="4" t="s">
        <v>5</v>
      </c>
      <c r="E24" s="4" t="s">
        <v>43</v>
      </c>
    </row>
    <row r="25" spans="2:5">
      <c r="B25" s="5" t="s">
        <v>44</v>
      </c>
      <c r="C25" s="13">
        <v>0.3</v>
      </c>
      <c r="D25" s="7" t="s">
        <v>45</v>
      </c>
      <c r="E25" s="8" t="s">
        <v>46</v>
      </c>
    </row>
    <row r="26" spans="2:5">
      <c r="B26" s="5" t="s">
        <v>47</v>
      </c>
      <c r="C26" s="11">
        <v>15</v>
      </c>
      <c r="D26" s="7" t="s">
        <v>48</v>
      </c>
      <c r="E26" s="8" t="s">
        <v>49</v>
      </c>
    </row>
    <row r="27" spans="2:5">
      <c r="B27" s="5" t="s">
        <v>50</v>
      </c>
      <c r="C27" s="6">
        <v>3000000</v>
      </c>
      <c r="D27" s="7" t="s">
        <v>51</v>
      </c>
      <c r="E27" s="8" t="s">
        <v>52</v>
      </c>
    </row>
    <row r="28" spans="2:5">
      <c r="B28" s="5" t="s">
        <v>53</v>
      </c>
      <c r="C28" s="13">
        <v>0.08</v>
      </c>
      <c r="D28" s="7" t="s">
        <v>54</v>
      </c>
      <c r="E28" s="8" t="s">
        <v>55</v>
      </c>
    </row>
    <row r="29" spans="2:5">
      <c r="B29" s="5" t="s">
        <v>56</v>
      </c>
      <c r="C29" s="11">
        <v>120</v>
      </c>
      <c r="D29" s="7" t="s">
        <v>57</v>
      </c>
      <c r="E29" s="8" t="s">
        <v>58</v>
      </c>
    </row>
    <row r="31" spans="2:5">
      <c r="B31" s="3" t="s">
        <v>59</v>
      </c>
      <c r="C31" s="3"/>
      <c r="D31" s="3"/>
      <c r="E31" s="3"/>
    </row>
    <row r="32" spans="2:5">
      <c r="B32" s="4" t="s">
        <v>60</v>
      </c>
      <c r="C32" s="4" t="s">
        <v>61</v>
      </c>
      <c r="D32" s="4" t="s">
        <v>62</v>
      </c>
      <c r="E32" s="4" t="s">
        <v>63</v>
      </c>
    </row>
    <row r="33" spans="2:5">
      <c r="B33" s="5" t="s">
        <v>64</v>
      </c>
      <c r="C33" s="6">
        <v>250000</v>
      </c>
      <c r="D33" s="7" t="s">
        <v>65</v>
      </c>
      <c r="E33" s="8" t="s">
        <v>66</v>
      </c>
    </row>
    <row r="34" spans="2:5">
      <c r="B34" s="5" t="s">
        <v>67</v>
      </c>
      <c r="C34" s="6">
        <v>100000</v>
      </c>
      <c r="D34" s="7" t="s">
        <v>65</v>
      </c>
      <c r="E34" s="8" t="s">
        <v>68</v>
      </c>
    </row>
    <row r="35" spans="2:5">
      <c r="B35" s="5" t="s">
        <v>69</v>
      </c>
      <c r="C35" s="6">
        <v>100000</v>
      </c>
      <c r="D35" s="7" t="s">
        <v>65</v>
      </c>
      <c r="E35" s="8" t="s">
        <v>70</v>
      </c>
    </row>
    <row r="36" spans="2:5">
      <c r="B36" s="5" t="s">
        <v>71</v>
      </c>
      <c r="C36" s="6">
        <v>50000</v>
      </c>
      <c r="D36" s="7" t="s">
        <v>65</v>
      </c>
      <c r="E36" s="8" t="s">
        <v>72</v>
      </c>
    </row>
    <row r="37" spans="2:5">
      <c r="B37" s="5" t="s">
        <v>73</v>
      </c>
      <c r="C37" s="6">
        <v>3000000</v>
      </c>
      <c r="D37" s="7" t="s">
        <v>74</v>
      </c>
      <c r="E37" s="8" t="s">
        <v>75</v>
      </c>
    </row>
    <row r="38" spans="2:5">
      <c r="B38" s="5" t="s">
        <v>76</v>
      </c>
      <c r="C38" s="6">
        <v>1000000</v>
      </c>
      <c r="D38" s="7" t="s">
        <v>77</v>
      </c>
      <c r="E38" s="8" t="s">
        <v>78</v>
      </c>
    </row>
    <row r="39" spans="2:5">
      <c r="B39" s="5" t="s">
        <v>79</v>
      </c>
      <c r="C39" s="6">
        <v>300000</v>
      </c>
      <c r="D39" s="7" t="s">
        <v>80</v>
      </c>
      <c r="E39" s="8" t="s">
        <v>81</v>
      </c>
    </row>
    <row r="40" spans="2:5">
      <c r="B40" s="5" t="s">
        <v>82</v>
      </c>
      <c r="C40" s="6">
        <v>500000</v>
      </c>
      <c r="D40" s="7" t="s">
        <v>20</v>
      </c>
      <c r="E40" s="8" t="s">
        <v>83</v>
      </c>
    </row>
    <row r="41" spans="2:5">
      <c r="B41" s="9" t="s">
        <v>84</v>
      </c>
      <c r="C41" s="10">
        <f>SUM(C33:C40)</f>
        <v>0</v>
      </c>
      <c r="D41" s="4" t="s">
        <v>51</v>
      </c>
      <c r="E41" s="8" t="s">
        <v>85</v>
      </c>
    </row>
  </sheetData>
  <mergeCells count="5">
    <mergeCell ref="B2:E2"/>
    <mergeCell ref="B5:E5"/>
    <mergeCell ref="B15:E15"/>
    <mergeCell ref="B23:E23"/>
    <mergeCell ref="B31:E31"/>
  </mergeCells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6A34A"/>
  </sheetPr>
  <dimension ref="B2:E27"/>
  <sheetViews>
    <sheetView workbookViewId="0"/>
  </sheetViews>
  <sheetFormatPr defaultRowHeight="15"/>
  <cols>
    <col min="1" max="1" width="4.7109375" customWidth="1"/>
    <col min="2" max="2" width="40.7109375" customWidth="1"/>
    <col min="3" max="3" width="20.7109375" customWidth="1"/>
    <col min="4" max="4" width="15.7109375" customWidth="1"/>
    <col min="5" max="5" width="45.7109375" customWidth="1"/>
  </cols>
  <sheetData>
    <row r="2" spans="2:5">
      <c r="B2" s="1" t="s">
        <v>86</v>
      </c>
      <c r="C2" s="1"/>
      <c r="D2" s="1"/>
      <c r="E2" s="1"/>
    </row>
    <row r="3" spans="2:5">
      <c r="B3" s="2" t="s">
        <v>87</v>
      </c>
    </row>
    <row r="5" spans="2:5">
      <c r="B5" s="3" t="s">
        <v>88</v>
      </c>
      <c r="C5" s="3"/>
      <c r="D5" s="3"/>
      <c r="E5" s="3"/>
    </row>
    <row r="6" spans="2:5">
      <c r="B6" s="4" t="s">
        <v>89</v>
      </c>
      <c r="C6" s="4" t="s">
        <v>90</v>
      </c>
      <c r="D6" s="4" t="s">
        <v>91</v>
      </c>
      <c r="E6" s="4" t="s">
        <v>92</v>
      </c>
    </row>
    <row r="7" spans="2:5">
      <c r="B7" s="5" t="s">
        <v>93</v>
      </c>
      <c r="C7" s="14">
        <f>'Gia Dinh Dau Vao'!D21*'Gia Dinh Dau Vao'!C25</f>
        <v>0</v>
      </c>
      <c r="D7" s="15">
        <f>C7/C12</f>
        <v>0</v>
      </c>
      <c r="E7" s="8" t="s">
        <v>94</v>
      </c>
    </row>
    <row r="8" spans="2:5">
      <c r="B8" s="5" t="s">
        <v>95</v>
      </c>
      <c r="C8" s="14">
        <f>'Gia Dinh Dau Vao'!C26*40000</f>
        <v>0</v>
      </c>
      <c r="D8" s="15">
        <f>C8/C12</f>
        <v>0</v>
      </c>
      <c r="E8" s="8" t="s">
        <v>96</v>
      </c>
    </row>
    <row r="9" spans="2:5">
      <c r="B9" s="5" t="s">
        <v>97</v>
      </c>
      <c r="C9" s="14">
        <f>'Gia Dinh Dau Vao'!C27*'Gia Dinh Dau Vao'!C28</f>
        <v>0</v>
      </c>
      <c r="D9" s="15">
        <f>C9/C12</f>
        <v>0</v>
      </c>
      <c r="E9" s="8" t="s">
        <v>98</v>
      </c>
    </row>
    <row r="10" spans="2:5">
      <c r="B10" s="5" t="s">
        <v>99</v>
      </c>
      <c r="C10" s="14">
        <f>'Gia Dinh Dau Vao'!C29*2000</f>
        <v>0</v>
      </c>
      <c r="D10" s="15">
        <f>C10/C12</f>
        <v>0</v>
      </c>
      <c r="E10" s="8" t="s">
        <v>100</v>
      </c>
    </row>
    <row r="11" spans="2:5">
      <c r="B11" s="5" t="s">
        <v>101</v>
      </c>
      <c r="C11" s="14">
        <v>0</v>
      </c>
      <c r="D11" s="15">
        <v>0</v>
      </c>
      <c r="E11" s="8" t="s">
        <v>102</v>
      </c>
    </row>
    <row r="12" spans="2:5">
      <c r="B12" s="16" t="s">
        <v>103</v>
      </c>
      <c r="C12" s="10">
        <f>SUM(C7:C11)</f>
        <v>0</v>
      </c>
      <c r="D12" s="16" t="s">
        <v>104</v>
      </c>
      <c r="E12" s="8" t="s">
        <v>105</v>
      </c>
    </row>
    <row r="14" spans="2:5">
      <c r="B14" s="3" t="s">
        <v>106</v>
      </c>
      <c r="C14" s="3"/>
      <c r="D14" s="3"/>
      <c r="E14" s="3"/>
    </row>
    <row r="15" spans="2:5">
      <c r="B15" s="4" t="s">
        <v>107</v>
      </c>
      <c r="C15" s="4" t="s">
        <v>90</v>
      </c>
      <c r="D15" s="4" t="s">
        <v>108</v>
      </c>
      <c r="E15" s="4" t="s">
        <v>109</v>
      </c>
    </row>
    <row r="16" spans="2:5">
      <c r="B16" s="5" t="s">
        <v>110</v>
      </c>
      <c r="C16" s="14">
        <f>C12</f>
        <v>0</v>
      </c>
      <c r="D16" s="15">
        <v>1</v>
      </c>
      <c r="E16" s="8" t="s">
        <v>111</v>
      </c>
    </row>
    <row r="17" spans="2:5">
      <c r="B17" s="5" t="s">
        <v>112</v>
      </c>
      <c r="C17" s="14">
        <f>'Gia Dinh Dau Vao'!C41</f>
        <v>0</v>
      </c>
      <c r="D17" s="15">
        <f>C17/C16</f>
        <v>0</v>
      </c>
      <c r="E17" s="8" t="s">
        <v>113</v>
      </c>
    </row>
    <row r="18" spans="2:5">
      <c r="B18" s="16" t="s">
        <v>114</v>
      </c>
      <c r="C18" s="10">
        <f>C16-C17</f>
        <v>0</v>
      </c>
      <c r="D18" s="16">
        <f>C18/C16</f>
        <v>0</v>
      </c>
      <c r="E18" s="8" t="s">
        <v>115</v>
      </c>
    </row>
    <row r="20" spans="2:5">
      <c r="B20" s="3" t="s">
        <v>116</v>
      </c>
      <c r="C20" s="3"/>
      <c r="D20" s="3"/>
      <c r="E20" s="3"/>
    </row>
    <row r="21" spans="2:5">
      <c r="B21" s="4" t="s">
        <v>117</v>
      </c>
      <c r="C21" s="4" t="s">
        <v>118</v>
      </c>
      <c r="D21" s="4" t="s">
        <v>5</v>
      </c>
      <c r="E21" s="4" t="s">
        <v>119</v>
      </c>
    </row>
    <row r="22" spans="2:5">
      <c r="B22" s="5" t="s">
        <v>120</v>
      </c>
      <c r="C22" s="14">
        <f>C17</f>
        <v>0</v>
      </c>
      <c r="D22" s="7" t="s">
        <v>51</v>
      </c>
      <c r="E22" s="8" t="s">
        <v>121</v>
      </c>
    </row>
    <row r="23" spans="2:5">
      <c r="B23" s="5" t="s">
        <v>122</v>
      </c>
      <c r="C23" s="14">
        <f>(C22-C8-C9-C10)/'Gia Dinh Dau Vao'!C25</f>
        <v>0</v>
      </c>
      <c r="D23" s="7" t="s">
        <v>123</v>
      </c>
      <c r="E23" s="8" t="s">
        <v>124</v>
      </c>
    </row>
    <row r="24" spans="2:5">
      <c r="B24" s="5" t="s">
        <v>125</v>
      </c>
      <c r="C24" s="17">
        <f>C23/('Gia Dinh Dau Vao'!D21/'Gia Dinh Dau Vao'!C21)</f>
        <v>0</v>
      </c>
      <c r="D24" s="7" t="s">
        <v>126</v>
      </c>
      <c r="E24" s="8" t="s">
        <v>127</v>
      </c>
    </row>
    <row r="25" spans="2:5">
      <c r="B25" s="5" t="s">
        <v>128</v>
      </c>
      <c r="C25" s="14">
        <f>'Gia Dinh Dau Vao'!C13</f>
        <v>0</v>
      </c>
      <c r="D25" s="7" t="s">
        <v>23</v>
      </c>
      <c r="E25" s="8" t="s">
        <v>129</v>
      </c>
    </row>
    <row r="26" spans="2:5">
      <c r="B26" s="16" t="s">
        <v>130</v>
      </c>
      <c r="C26" s="18">
        <f>IF(C18&lt;=0, 999, C25/C18)</f>
        <v>0</v>
      </c>
      <c r="D26" s="16" t="s">
        <v>131</v>
      </c>
      <c r="E26" s="8" t="s">
        <v>132</v>
      </c>
    </row>
    <row r="27" spans="2:5">
      <c r="B27" s="5" t="s">
        <v>133</v>
      </c>
      <c r="C27" s="19">
        <f>IF(C18&lt;=0, "CHƯA HÒA VỐN (ĐANG LỖ)", IF(C26&lt;=6, "HOÀN VỐN NHANH (&lt;6T)", IF(C26&lt;=12, "HOÀN VỐN KHẢ QUAN (6-12T)", "HOÀN VỐN TRUNG HẠN (&gt;12T)")))</f>
        <v>0</v>
      </c>
      <c r="D27" s="7" t="s">
        <v>134</v>
      </c>
      <c r="E27" s="8" t="s">
        <v>135</v>
      </c>
    </row>
  </sheetData>
  <mergeCells count="4">
    <mergeCell ref="B2:E2"/>
    <mergeCell ref="B5:E5"/>
    <mergeCell ref="B14:E14"/>
    <mergeCell ref="B20:E20"/>
  </mergeCells>
  <printOptions gridLine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563EB"/>
  </sheetPr>
  <dimension ref="B2:P21"/>
  <sheetViews>
    <sheetView workbookViewId="0"/>
  </sheetViews>
  <sheetFormatPr defaultRowHeight="15"/>
  <cols>
    <col min="1" max="1" width="4.7109375" customWidth="1"/>
    <col min="2" max="2" width="34.7109375" customWidth="1"/>
    <col min="3" max="15" width="14.7109375" customWidth="1"/>
  </cols>
  <sheetData>
    <row r="2" spans="2:16">
      <c r="B2" s="1" t="s">
        <v>136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6">
      <c r="B3" s="2" t="s">
        <v>137</v>
      </c>
    </row>
    <row r="5" spans="2:16">
      <c r="B5" s="16" t="s">
        <v>138</v>
      </c>
      <c r="C5" s="16" t="s">
        <v>139</v>
      </c>
      <c r="D5" s="16" t="s">
        <v>140</v>
      </c>
      <c r="E5" s="16" t="s">
        <v>141</v>
      </c>
      <c r="F5" s="16" t="s">
        <v>142</v>
      </c>
      <c r="G5" s="16" t="s">
        <v>143</v>
      </c>
      <c r="H5" s="16" t="s">
        <v>144</v>
      </c>
      <c r="I5" s="16" t="s">
        <v>145</v>
      </c>
      <c r="J5" s="16" t="s">
        <v>146</v>
      </c>
      <c r="K5" s="16" t="s">
        <v>147</v>
      </c>
      <c r="L5" s="16" t="s">
        <v>148</v>
      </c>
      <c r="M5" s="16" t="s">
        <v>149</v>
      </c>
      <c r="N5" s="16" t="s">
        <v>150</v>
      </c>
      <c r="O5" s="16" t="s">
        <v>151</v>
      </c>
      <c r="P5" s="16" t="s">
        <v>152</v>
      </c>
    </row>
    <row r="6" spans="2:16">
      <c r="B6" s="5" t="s">
        <v>153</v>
      </c>
      <c r="C6" s="7" t="s">
        <v>154</v>
      </c>
      <c r="D6" s="15">
        <v>0.4</v>
      </c>
      <c r="E6" s="15">
        <v>0.6</v>
      </c>
      <c r="F6" s="15">
        <v>0.8</v>
      </c>
      <c r="G6" s="15">
        <v>1</v>
      </c>
      <c r="H6" s="15">
        <v>1.2</v>
      </c>
      <c r="I6" s="15">
        <v>1.4</v>
      </c>
      <c r="J6" s="15">
        <v>1.7</v>
      </c>
      <c r="K6" s="15">
        <v>2</v>
      </c>
      <c r="L6" s="15">
        <v>2.3</v>
      </c>
      <c r="M6" s="15">
        <v>2.7</v>
      </c>
      <c r="N6" s="15">
        <v>3.1</v>
      </c>
      <c r="O6" s="7" t="s">
        <v>154</v>
      </c>
    </row>
    <row r="7" spans="2:16">
      <c r="B7" s="5" t="s">
        <v>155</v>
      </c>
      <c r="C7" s="14">
        <v>0</v>
      </c>
      <c r="D7" s="14">
        <f>'Dong Tien Hoi Von'!C12*D6</f>
        <v>0</v>
      </c>
      <c r="E7" s="14">
        <f>'Dong Tien Hoi Von'!C12*E6</f>
        <v>0</v>
      </c>
      <c r="F7" s="14">
        <f>'Dong Tien Hoi Von'!C12*F6</f>
        <v>0</v>
      </c>
      <c r="G7" s="14">
        <f>'Dong Tien Hoi Von'!C12*G6</f>
        <v>0</v>
      </c>
      <c r="H7" s="14">
        <f>'Dong Tien Hoi Von'!C12*H6</f>
        <v>0</v>
      </c>
      <c r="I7" s="14">
        <f>'Dong Tien Hoi Von'!C12*I6</f>
        <v>0</v>
      </c>
      <c r="J7" s="14">
        <f>'Dong Tien Hoi Von'!C12*J6</f>
        <v>0</v>
      </c>
      <c r="K7" s="14">
        <f>'Dong Tien Hoi Von'!C12*K6</f>
        <v>0</v>
      </c>
      <c r="L7" s="14">
        <f>'Dong Tien Hoi Von'!C12*L6</f>
        <v>0</v>
      </c>
      <c r="M7" s="14">
        <f>'Dong Tien Hoi Von'!C12*M6</f>
        <v>0</v>
      </c>
      <c r="N7" s="14">
        <f>'Dong Tien Hoi Von'!C12*N6</f>
        <v>0</v>
      </c>
      <c r="O7" s="10">
        <f>SUM(D7:N7)</f>
        <v>0</v>
      </c>
    </row>
    <row r="8" spans="2:16">
      <c r="B8" s="5" t="s">
        <v>156</v>
      </c>
      <c r="C8" s="14">
        <v>0</v>
      </c>
      <c r="D8" s="14">
        <f>'Dong Tien Hoi Von'!C17*0.7</f>
        <v>0</v>
      </c>
      <c r="E8" s="14">
        <f>'Dong Tien Hoi Von'!C17*0.8</f>
        <v>0</v>
      </c>
      <c r="F8" s="14">
        <f>'Dong Tien Hoi Von'!C17*0.9</f>
        <v>0</v>
      </c>
      <c r="G8" s="14">
        <f>'Dong Tien Hoi Von'!C17*1.0</f>
        <v>0</v>
      </c>
      <c r="H8" s="14">
        <f>'Dong Tien Hoi Von'!C17*1.05</f>
        <v>0</v>
      </c>
      <c r="I8" s="14">
        <f>'Dong Tien Hoi Von'!C17*1.1</f>
        <v>0</v>
      </c>
      <c r="J8" s="14">
        <f>'Dong Tien Hoi Von'!C17*1.2</f>
        <v>0</v>
      </c>
      <c r="K8" s="14">
        <f>'Dong Tien Hoi Von'!C17*1.3</f>
        <v>0</v>
      </c>
      <c r="L8" s="14">
        <f>'Dong Tien Hoi Von'!C17*1.4</f>
        <v>0</v>
      </c>
      <c r="M8" s="14">
        <f>'Dong Tien Hoi Von'!C17*1.5</f>
        <v>0</v>
      </c>
      <c r="N8" s="14">
        <f>'Dong Tien Hoi Von'!C17*1.6</f>
        <v>0</v>
      </c>
      <c r="O8" s="12">
        <f>SUM(D8:N8)</f>
        <v>0</v>
      </c>
    </row>
    <row r="9" spans="2:16">
      <c r="B9" s="4" t="s">
        <v>157</v>
      </c>
      <c r="C9" s="14">
        <v>0</v>
      </c>
      <c r="D9" s="14">
        <f>D7-D8</f>
        <v>0</v>
      </c>
      <c r="E9" s="14">
        <f>E7-E8</f>
        <v>0</v>
      </c>
      <c r="F9" s="14">
        <f>F7-F8</f>
        <v>0</v>
      </c>
      <c r="G9" s="14">
        <f>G7-G8</f>
        <v>0</v>
      </c>
      <c r="H9" s="14">
        <f>H7-H8</f>
        <v>0</v>
      </c>
      <c r="I9" s="14">
        <f>I7-I8</f>
        <v>0</v>
      </c>
      <c r="J9" s="14">
        <f>J7-J8</f>
        <v>0</v>
      </c>
      <c r="K9" s="14">
        <f>K7-K8</f>
        <v>0</v>
      </c>
      <c r="L9" s="14">
        <f>L7-L8</f>
        <v>0</v>
      </c>
      <c r="M9" s="14">
        <f>M7-M8</f>
        <v>0</v>
      </c>
      <c r="N9" s="14">
        <f>N7-N8</f>
        <v>0</v>
      </c>
      <c r="O9" s="10">
        <f>SUM(D9:N9)</f>
        <v>0</v>
      </c>
    </row>
    <row r="10" spans="2:16">
      <c r="B10" s="5" t="s">
        <v>158</v>
      </c>
      <c r="C10" s="14">
        <f>'Gia Dinh Dau Vao'!C13</f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f>C10</f>
        <v>0</v>
      </c>
    </row>
    <row r="11" spans="2:16">
      <c r="B11" s="16" t="s">
        <v>159</v>
      </c>
      <c r="C11" s="10">
        <f>-C10</f>
        <v>0</v>
      </c>
      <c r="D11" s="10">
        <f>C11+D9</f>
        <v>0</v>
      </c>
      <c r="E11" s="10">
        <f>D11+E9</f>
        <v>0</v>
      </c>
      <c r="F11" s="10">
        <f>E11+F9</f>
        <v>0</v>
      </c>
      <c r="G11" s="10">
        <f>F11+G9</f>
        <v>0</v>
      </c>
      <c r="H11" s="10">
        <f>G11+H9</f>
        <v>0</v>
      </c>
      <c r="I11" s="10">
        <f>H11+I9</f>
        <v>0</v>
      </c>
      <c r="J11" s="10">
        <f>I11+J9</f>
        <v>0</v>
      </c>
      <c r="K11" s="10">
        <f>J11+K9</f>
        <v>0</v>
      </c>
      <c r="L11" s="10">
        <f>K11+L9</f>
        <v>0</v>
      </c>
      <c r="M11" s="10">
        <f>L11+M9</f>
        <v>0</v>
      </c>
      <c r="N11" s="10">
        <f>M11+N9</f>
        <v>0</v>
      </c>
      <c r="O11" s="10">
        <f>N11</f>
        <v>0</v>
      </c>
    </row>
    <row r="12" spans="2:16">
      <c r="B12" s="5" t="s">
        <v>160</v>
      </c>
      <c r="C12" s="8" t="s">
        <v>161</v>
      </c>
      <c r="D12" s="8">
        <f>IF(D11&gt;=0, "ĐÃ HỒI VỐN", "Đang thu hồi")</f>
        <v>0</v>
      </c>
      <c r="E12" s="8">
        <f>IF(E11&gt;=0, "ĐÃ HỒI VỐN", "Đang thu hồi")</f>
        <v>0</v>
      </c>
      <c r="F12" s="8">
        <f>IF(F11&gt;=0, "ĐÃ HỒI VỐN", "Đang thu hồi")</f>
        <v>0</v>
      </c>
      <c r="G12" s="8">
        <f>IF(G11&gt;=0, "ĐÃ HỒI VỐN", "Đang thu hồi")</f>
        <v>0</v>
      </c>
      <c r="H12" s="8">
        <f>IF(H11&gt;=0, "ĐÃ HỒI VỐN", "Đang thu hồi")</f>
        <v>0</v>
      </c>
      <c r="I12" s="8">
        <f>IF(I11&gt;=0, "ĐÃ HỒI VỐN", "Đang thu hồi")</f>
        <v>0</v>
      </c>
      <c r="J12" s="8">
        <f>IF(J11&gt;=0, "ĐÃ HỒI VỐN", "Đang thu hồi")</f>
        <v>0</v>
      </c>
      <c r="K12" s="8">
        <f>IF(K11&gt;=0, "ĐÃ HỒI VỐN", "Đang thu hồi")</f>
        <v>0</v>
      </c>
      <c r="L12" s="8">
        <f>IF(L11&gt;=0, "ĐÃ HỒI VỐN", "Đang thu hồi")</f>
        <v>0</v>
      </c>
      <c r="M12" s="8">
        <f>IF(M11&gt;=0, "ĐÃ HỒI VỐN", "Đang thu hồi")</f>
        <v>0</v>
      </c>
      <c r="N12" s="8">
        <f>IF(N11&gt;=0, "ĐÃ HỒI VỐN", "Đang thu hồi")</f>
        <v>0</v>
      </c>
      <c r="O12" s="8">
        <f>IF(O11&gt;=0, "CÓ LÃI RÒNG", "Chưa hồi đủ")</f>
        <v>0</v>
      </c>
    </row>
    <row r="15" spans="2:16">
      <c r="B15" s="3" t="s">
        <v>162</v>
      </c>
      <c r="C15" s="3"/>
      <c r="D15" s="3"/>
      <c r="E15" s="3"/>
      <c r="F15" s="3"/>
      <c r="G15" s="3"/>
      <c r="H15" s="3"/>
    </row>
    <row r="16" spans="2:16">
      <c r="B16" s="4" t="s">
        <v>163</v>
      </c>
      <c r="C16" s="4" t="s">
        <v>27</v>
      </c>
      <c r="D16" s="4" t="s">
        <v>164</v>
      </c>
      <c r="E16" s="4" t="s">
        <v>165</v>
      </c>
      <c r="F16" s="4" t="s">
        <v>166</v>
      </c>
      <c r="G16" s="4" t="s">
        <v>167</v>
      </c>
      <c r="H16" s="4" t="s">
        <v>168</v>
      </c>
    </row>
    <row r="17" spans="2:8">
      <c r="B17" s="5" t="s">
        <v>169</v>
      </c>
      <c r="C17" s="17">
        <f>'Gia Dinh Dau Vao'!C21*0.5</f>
        <v>0</v>
      </c>
      <c r="D17" s="14">
        <f>'Gia Dinh Dau Vao'!D21*0.5</f>
        <v>0</v>
      </c>
      <c r="E17" s="14">
        <f>'Dong Tien Hoi Von'!C12*0.5</f>
        <v>0</v>
      </c>
      <c r="F17" s="14">
        <f>'Dong Tien Hoi Von'!C17*(1 + (0.5-1)*0.25)</f>
        <v>0</v>
      </c>
      <c r="G17" s="10">
        <f>E17-F17</f>
        <v>0</v>
      </c>
      <c r="H17" s="18">
        <f>IF(G17&lt;=0, 999, 'Dong Tien Hoi Von'!C25/G17)</f>
        <v>0</v>
      </c>
    </row>
    <row r="18" spans="2:8">
      <c r="B18" s="5" t="s">
        <v>170</v>
      </c>
      <c r="C18" s="17">
        <f>'Gia Dinh Dau Vao'!C21*1.0</f>
        <v>0</v>
      </c>
      <c r="D18" s="14">
        <f>'Gia Dinh Dau Vao'!D21*1.0</f>
        <v>0</v>
      </c>
      <c r="E18" s="14">
        <f>'Dong Tien Hoi Von'!C12*1.0</f>
        <v>0</v>
      </c>
      <c r="F18" s="14">
        <f>'Dong Tien Hoi Von'!C17*(1 + (1.0-1)*0.25)</f>
        <v>0</v>
      </c>
      <c r="G18" s="10">
        <f>E18-F18</f>
        <v>0</v>
      </c>
      <c r="H18" s="18">
        <f>IF(G18&lt;=0, 999, 'Dong Tien Hoi Von'!C25/G18)</f>
        <v>0</v>
      </c>
    </row>
    <row r="19" spans="2:8">
      <c r="B19" s="5" t="s">
        <v>171</v>
      </c>
      <c r="C19" s="17">
        <f>'Gia Dinh Dau Vao'!C21*1.8</f>
        <v>0</v>
      </c>
      <c r="D19" s="14">
        <f>'Gia Dinh Dau Vao'!D21*1.8</f>
        <v>0</v>
      </c>
      <c r="E19" s="14">
        <f>'Dong Tien Hoi Von'!C12*1.8</f>
        <v>0</v>
      </c>
      <c r="F19" s="14">
        <f>'Dong Tien Hoi Von'!C17*(1 + (1.8-1)*0.25)</f>
        <v>0</v>
      </c>
      <c r="G19" s="10">
        <f>E19-F19</f>
        <v>0</v>
      </c>
      <c r="H19" s="18">
        <f>IF(G19&lt;=0, 999, 'Dong Tien Hoi Von'!C25/G19)</f>
        <v>0</v>
      </c>
    </row>
    <row r="21" spans="2:8">
      <c r="B21" s="9" t="s">
        <v>172</v>
      </c>
      <c r="C21" s="8" t="s">
        <v>173</v>
      </c>
      <c r="D21" s="8"/>
      <c r="E21" s="8"/>
      <c r="F21" s="8"/>
      <c r="G21" s="8"/>
      <c r="H21" s="8"/>
    </row>
  </sheetData>
  <mergeCells count="3">
    <mergeCell ref="B2:O2"/>
    <mergeCell ref="B15:H15"/>
    <mergeCell ref="C21:H21"/>
  </mergeCells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Gia Dinh Dau Vao</vt:lpstr>
      <vt:lpstr>Dong Tien Hoi Von</vt:lpstr>
      <vt:lpstr>Du Phong 12 Thang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2026-10-31T10:24:05Z</dcterms:created>
  <dcterms:modified xsi:type="dcterms:W3CDTF">2026-10-31T10:24:05Z</dcterms:modified>
</cp:coreProperties>
</file>